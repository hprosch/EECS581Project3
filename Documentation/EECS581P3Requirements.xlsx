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ileReferenceStories" sheetId="1" r:id="rId5"/>
    <sheet state="visible" name="RequirementsStack" sheetId="2" r:id="rId6"/>
  </sheets>
  <definedNames/>
  <calcPr/>
</workbook>
</file>

<file path=xl/sharedStrings.xml><?xml version="1.0" encoding="utf-8"?>
<sst xmlns="http://schemas.openxmlformats.org/spreadsheetml/2006/main" count="75" uniqueCount="61">
  <si>
    <t>Reference Story No.</t>
  </si>
  <si>
    <t>Pool (1, 2, 3, 5, 8, 13, or 21)</t>
  </si>
  <si>
    <t>Story Source</t>
  </si>
  <si>
    <t>Story Summary</t>
  </si>
  <si>
    <t>Requirement ID</t>
  </si>
  <si>
    <t>Word count</t>
  </si>
  <si>
    <t>Description</t>
  </si>
  <si>
    <t>Story Points</t>
  </si>
  <si>
    <t>Priority</t>
  </si>
  <si>
    <t>Sprint No.</t>
  </si>
  <si>
    <t>EECS 348 FA 2024</t>
  </si>
  <si>
    <t>Lab 1: create Github account, explore basic Git commands, set up a new repository, add files and commit changes, and push local commits to GitHub repository.</t>
  </si>
  <si>
    <t>Lab 2: learn about basic shell scripting syntax and concepts to write a shell script, and create a simple make file to learn about automating compilation.</t>
  </si>
  <si>
    <t>HTML page with the grid for guesses, and keyboard</t>
  </si>
  <si>
    <t>Adding dictionaries for valid word guesses and actual word selection</t>
  </si>
  <si>
    <t>Lab 3: use Visual Paradigm to create a UML use case model for a "make payment" use case for a cruise ship traveling software application.</t>
  </si>
  <si>
    <t>Develop back end logic for requirement ID items 4</t>
  </si>
  <si>
    <t>Compare the the guess with the actual word, cannot guess same word twice</t>
  </si>
  <si>
    <t>Lab 4: using C, create a NFL football possible score program, and a temperature conversion program for Fahrenheit, Celsius, and Kelvin, categorizing the temperatures into the given 5 categories.</t>
  </si>
  <si>
    <t>Color letters in guess that do not appear in the word as grey</t>
  </si>
  <si>
    <t>Color letters in the guess green if the guessed letter appears in the correct position</t>
  </si>
  <si>
    <t>Color letters in the guess gold if the guessed letter appears in the incorrect position</t>
  </si>
  <si>
    <t>Lab 5: in C, write a sales report program that will read 12 monthly sales and calculate a monthly sales report, sales summary report, six-month moving average report, and display the sales from highest to lowest.  Also, write a matrix manipulation program to add, multiply, transpose, and print matrices.</t>
  </si>
  <si>
    <t>If the user's first guess is not correct, allow them to make addtional guesses (up to 5 total guesses), repeating steps 4.1 - 4.4</t>
  </si>
  <si>
    <t>CSS/Presentation</t>
  </si>
  <si>
    <t>Lab 6: create a simple profile website using HTML, CSS, JavaScript, and PHP.  Use CSS font control, JavaScript password verification, and a PHP multiplication table.</t>
  </si>
  <si>
    <t>Testing/quality assurance</t>
  </si>
  <si>
    <t>Forest's Hint System (could pair with Eden's counter idea) using ML/information theory</t>
  </si>
  <si>
    <t>Lab 7: extend Lab 5's matrix code, but this time using C++.  Read values from a file into a matrix, add and multiply matrices with operator overloading, sum the diagonal elements of a matrix, and swap matrix rows.</t>
  </si>
  <si>
    <t>Hard mode, suggested by Chris and Daniel (words/letters that don't appear as frequently)</t>
  </si>
  <si>
    <t>Multiplayer/duel mode, suggested by Eden</t>
  </si>
  <si>
    <t>Lab 8: learn about basic database interaction by entering a database, importing tables, and writing 10 basic SQL queries, taking screenshots of the output and the query.</t>
  </si>
  <si>
    <t>Different color tile for guessed letter that appears more than once.</t>
  </si>
  <si>
    <t>Definition, suggested by Chris and Johney</t>
  </si>
  <si>
    <t xml:space="preserve">Lab 9: use the Visual Paradigm digital program to create UML class diagrams describing the relationship and multiplicities of each class and how they work together. </t>
  </si>
  <si>
    <t>Different length words to guess, other than 5, suggested by Hannah</t>
  </si>
  <si>
    <t>Guessing words by categories, suggested by Hannah</t>
  </si>
  <si>
    <t>Lab 10: software testing and debugging, identify any faults, define a test case that doesn't execute the fault, one that executes the fault but doesn't result in an error, one that does result in an error, but not a failure, and one that results in a failure.</t>
  </si>
  <si>
    <t>Multi-language mode, suggested by Eden</t>
  </si>
  <si>
    <t>Adventure mode, suggested by Chris</t>
  </si>
  <si>
    <t>Project: create an arithmetic parser as a semester long project with a set team, meeting regularly, creating all necessary documentation and diagrams, and writing the code for the program.</t>
  </si>
  <si>
    <t>EECS 581 FA 2026</t>
  </si>
  <si>
    <t>A1: Extracting IPv4 Addresses from Noisy Text, using AI prompts to develop the C or C++ code.  Use ethical AI practices including general disclosure, code attribution, and verification statement.</t>
  </si>
  <si>
    <t>P1: Minesweeper application, created as a team, using HTML, CSS, and JavaScript.  Regularly meet together with the GTA, and include all code and documentation for the project.</t>
  </si>
  <si>
    <t>P2: Extending another team's Minesweeper application, as a team, using HTML, CSS, and JavaSCript.  Add additional features to the program, regularly meet together with the GTA, and include all code and documentation for the project.</t>
  </si>
  <si>
    <t>EECS 678 SP 2026</t>
  </si>
  <si>
    <t>Quash: Write a termal shell that includes jobs, builtins, and more. Implemented either in c or in a a picked language depending on year.</t>
  </si>
  <si>
    <t>Buddy Allocator: Set up an memory allocation algorithm that allocates a fized size page frame at the time of each page fault. The buddy algorithm manages memory blocks of exponential sizes (e.g., 4KB, 8KB, 16KB,...) keeping a set of free-lists for each block size.</t>
  </si>
  <si>
    <t>EECS 388 SP 2025</t>
  </si>
  <si>
    <t>Final Lab (10): Utilizing serial communications, sensors and actuators to implement the automatic braking and automatic steering for a self-driving car utlizing a pre-trained Seep Neural Network</t>
  </si>
  <si>
    <t>EECS 468 FA 2025</t>
  </si>
  <si>
    <t>Assignment 3: In Javascript, implement a class called Group that is meant to create a Set structure including set data structure operations such as Union, Add, Delete, Has, Intersection, and difference.</t>
  </si>
  <si>
    <t>EECS 168 FA 2023</t>
  </si>
  <si>
    <t>Lab 1: Setting up github and creating a reposetory in git. Creating a python file and printing out "This is my first lab exercise", and information about yourself.</t>
  </si>
  <si>
    <t>COMP 3260 SP 2025</t>
  </si>
  <si>
    <t>Assignment 1: Implement a triple-DES encryption and decryption algorithm in python that goes through all the steps and functions of the algorithm to encrypt and decrypt blocks of binary values.</t>
  </si>
  <si>
    <t>Assignment 6: Using Javascripyt, create a server that requests and responds to HTTP methods such as GET, PUT, DELETE, and MKCOL, and providing proper response message codes for proper and improper or failed requests.</t>
  </si>
  <si>
    <t>EECS 268 SPR 2025</t>
  </si>
  <si>
    <t>Lab 6: In this lab, the Blob is loose and you will figure out which parts of the city will and won't be consumed by...THE BLOB! You'll be given a file with a map of the city and the starting point of the Blob. Your program will use recursion and backtracking to figure how far the Blob will spread.</t>
  </si>
  <si>
    <t>EECS 330 FA 2025</t>
  </si>
  <si>
    <t>Performance Analysis of Circular Normalized Cross-Correlation for Face Recognition Using Schoolbook and Karatsuba Multiplication Methods: Implementing an algorithm and letting your program run for 8 hours continuously without your device crashing or losing progress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</si>
</sst>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22.25"/>
    <col customWidth="1" min="3" max="3" width="16.88"/>
    <col customWidth="1" min="4" max="4" width="2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1.0</v>
      </c>
      <c r="C2" s="3" t="s">
        <v>10</v>
      </c>
      <c r="D2" s="3" t="s">
        <v>11</v>
      </c>
      <c r="E2" s="4">
        <f>IFERROR(__xludf.DUMMYFUNCTION("COUNTA(SPLIT(D2, "" ""))"),26.0)</f>
        <v>26</v>
      </c>
    </row>
    <row r="3">
      <c r="A3" s="3">
        <v>2.0</v>
      </c>
      <c r="B3" s="3">
        <v>1.0</v>
      </c>
      <c r="C3" s="3" t="s">
        <v>10</v>
      </c>
      <c r="D3" s="3" t="s">
        <v>12</v>
      </c>
      <c r="E3" s="4">
        <f>IFERROR(__xludf.DUMMYFUNCTION("COUNTA(SPLIT(D3, "" ""))"),26.0)</f>
        <v>26</v>
      </c>
    </row>
    <row r="4">
      <c r="A4" s="3">
        <v>3.0</v>
      </c>
      <c r="B4" s="3">
        <v>2.0</v>
      </c>
      <c r="C4" s="3" t="s">
        <v>10</v>
      </c>
      <c r="D4" s="3" t="s">
        <v>15</v>
      </c>
      <c r="E4" s="4">
        <f>IFERROR(__xludf.DUMMYFUNCTION("COUNTA(SPLIT(D4, "" ""))"),25.0)</f>
        <v>25</v>
      </c>
    </row>
    <row r="5">
      <c r="A5" s="3">
        <v>4.0</v>
      </c>
      <c r="B5" s="3">
        <v>3.0</v>
      </c>
      <c r="C5" s="3" t="s">
        <v>10</v>
      </c>
      <c r="D5" s="3" t="s">
        <v>18</v>
      </c>
      <c r="E5" s="4">
        <f>IFERROR(__xludf.DUMMYFUNCTION("COUNTA(SPLIT(D5, "" ""))"),29.0)</f>
        <v>29</v>
      </c>
    </row>
    <row r="6">
      <c r="A6" s="3">
        <v>5.0</v>
      </c>
      <c r="B6" s="3">
        <v>5.0</v>
      </c>
      <c r="C6" s="3" t="s">
        <v>10</v>
      </c>
      <c r="D6" s="3" t="s">
        <v>22</v>
      </c>
      <c r="E6" s="4">
        <f>IFERROR(__xludf.DUMMYFUNCTION("COUNTA(SPLIT(D6, "" ""))"),49.0)</f>
        <v>49</v>
      </c>
    </row>
    <row r="7">
      <c r="A7" s="3">
        <v>6.0</v>
      </c>
      <c r="B7" s="3">
        <v>5.0</v>
      </c>
      <c r="C7" s="3" t="s">
        <v>10</v>
      </c>
      <c r="D7" s="3" t="s">
        <v>25</v>
      </c>
      <c r="E7" s="4">
        <f>IFERROR(__xludf.DUMMYFUNCTION("COUNTA(SPLIT(D7, "" ""))"),25.0)</f>
        <v>25</v>
      </c>
    </row>
    <row r="8">
      <c r="A8" s="3">
        <v>7.0</v>
      </c>
      <c r="B8" s="3">
        <v>5.0</v>
      </c>
      <c r="C8" s="3" t="s">
        <v>10</v>
      </c>
      <c r="D8" s="3" t="s">
        <v>28</v>
      </c>
      <c r="E8" s="4">
        <f>IFERROR(__xludf.DUMMYFUNCTION("COUNTA(SPLIT(D8, "" ""))"),38.0)</f>
        <v>38</v>
      </c>
    </row>
    <row r="9">
      <c r="A9" s="3">
        <v>8.0</v>
      </c>
      <c r="B9" s="3">
        <v>3.0</v>
      </c>
      <c r="C9" s="3" t="s">
        <v>10</v>
      </c>
      <c r="D9" s="3" t="s">
        <v>31</v>
      </c>
      <c r="E9" s="4">
        <f>IFERROR(__xludf.DUMMYFUNCTION("COUNTA(SPLIT(D9, "" ""))"),27.0)</f>
        <v>27</v>
      </c>
    </row>
    <row r="10">
      <c r="A10" s="3">
        <v>9.0</v>
      </c>
      <c r="B10" s="3">
        <v>2.0</v>
      </c>
      <c r="C10" s="3" t="s">
        <v>10</v>
      </c>
      <c r="D10" s="3" t="s">
        <v>34</v>
      </c>
      <c r="E10" s="4">
        <f>IFERROR(__xludf.DUMMYFUNCTION("COUNTA(SPLIT(D10, "" ""))"),26.0)</f>
        <v>26</v>
      </c>
    </row>
    <row r="11">
      <c r="A11" s="3">
        <v>10.0</v>
      </c>
      <c r="B11" s="3">
        <v>5.0</v>
      </c>
      <c r="C11" s="3" t="s">
        <v>10</v>
      </c>
      <c r="D11" s="3" t="s">
        <v>37</v>
      </c>
      <c r="E11" s="4">
        <f>IFERROR(__xludf.DUMMYFUNCTION("COUNTA(SPLIT(D11, "" ""))"),47.0)</f>
        <v>47</v>
      </c>
    </row>
    <row r="12">
      <c r="A12" s="3">
        <v>11.0</v>
      </c>
      <c r="B12" s="3">
        <v>13.0</v>
      </c>
      <c r="C12" s="3" t="s">
        <v>10</v>
      </c>
      <c r="D12" s="3" t="s">
        <v>40</v>
      </c>
      <c r="E12" s="4">
        <f>IFERROR(__xludf.DUMMYFUNCTION("COUNTA(SPLIT(D12, "" ""))"),29.0)</f>
        <v>29</v>
      </c>
    </row>
    <row r="13">
      <c r="A13" s="3">
        <v>12.0</v>
      </c>
      <c r="B13" s="3">
        <v>5.0</v>
      </c>
      <c r="C13" s="3" t="s">
        <v>41</v>
      </c>
      <c r="D13" s="3" t="s">
        <v>42</v>
      </c>
      <c r="E13" s="4">
        <f>IFERROR(__xludf.DUMMYFUNCTION("COUNTA(SPLIT(D13, "" ""))"),29.0)</f>
        <v>29</v>
      </c>
    </row>
    <row r="14">
      <c r="A14" s="3">
        <v>13.0</v>
      </c>
      <c r="B14" s="3">
        <v>8.0</v>
      </c>
      <c r="C14" s="3" t="s">
        <v>41</v>
      </c>
      <c r="D14" s="3" t="s">
        <v>43</v>
      </c>
      <c r="E14" s="4">
        <f>IFERROR(__xludf.DUMMYFUNCTION("COUNTA(SPLIT(D14, "" ""))"),27.0)</f>
        <v>27</v>
      </c>
    </row>
    <row r="15">
      <c r="A15" s="3">
        <v>14.0</v>
      </c>
      <c r="B15" s="3">
        <v>8.0</v>
      </c>
      <c r="C15" s="3" t="s">
        <v>41</v>
      </c>
      <c r="D15" s="3" t="s">
        <v>44</v>
      </c>
      <c r="E15" s="4">
        <f>IFERROR(__xludf.DUMMYFUNCTION("COUNTA(SPLIT(D15, "" ""))"),35.0)</f>
        <v>35</v>
      </c>
    </row>
    <row r="16">
      <c r="A16" s="3">
        <v>15.0</v>
      </c>
      <c r="B16" s="3">
        <v>21.0</v>
      </c>
      <c r="C16" s="3" t="s">
        <v>45</v>
      </c>
      <c r="D16" s="3" t="s">
        <v>46</v>
      </c>
      <c r="E16" s="4">
        <f>IFERROR(__xludf.DUMMYFUNCTION("COUNTA(SPLIT(D16, "" ""))"),24.0)</f>
        <v>24</v>
      </c>
    </row>
    <row r="17">
      <c r="A17" s="3">
        <v>16.0</v>
      </c>
      <c r="B17" s="3">
        <v>21.0</v>
      </c>
      <c r="C17" s="3" t="s">
        <v>45</v>
      </c>
      <c r="D17" s="3" t="s">
        <v>47</v>
      </c>
      <c r="E17" s="4">
        <f>IFERROR(__xludf.DUMMYFUNCTION("COUNTA(SPLIT(D17, "" ""))"),44.0)</f>
        <v>44</v>
      </c>
    </row>
    <row r="18">
      <c r="A18" s="3">
        <v>17.0</v>
      </c>
      <c r="B18" s="3">
        <v>8.0</v>
      </c>
      <c r="C18" s="3" t="s">
        <v>48</v>
      </c>
      <c r="D18" s="3" t="s">
        <v>49</v>
      </c>
      <c r="E18" s="4">
        <f>IFERROR(__xludf.DUMMYFUNCTION("COUNTA(SPLIT(D18, "" ""))"),27.0)</f>
        <v>27</v>
      </c>
    </row>
    <row r="19">
      <c r="A19" s="3">
        <v>18.0</v>
      </c>
      <c r="B19" s="3">
        <v>2.0</v>
      </c>
      <c r="C19" s="3" t="s">
        <v>50</v>
      </c>
      <c r="D19" s="3" t="s">
        <v>51</v>
      </c>
      <c r="E19" s="4">
        <f>IFERROR(__xludf.DUMMYFUNCTION("COUNTA(SPLIT(D19, "" ""))"),31.0)</f>
        <v>31</v>
      </c>
    </row>
    <row r="20">
      <c r="A20" s="3">
        <v>19.0</v>
      </c>
      <c r="B20" s="3">
        <v>1.0</v>
      </c>
      <c r="C20" s="3" t="s">
        <v>52</v>
      </c>
      <c r="D20" s="3" t="s">
        <v>53</v>
      </c>
      <c r="E20" s="4">
        <f>IFERROR(__xludf.DUMMYFUNCTION("COUNTA(SPLIT(D20, "" ""))"),28.0)</f>
        <v>28</v>
      </c>
    </row>
    <row r="21">
      <c r="A21" s="3">
        <v>20.0</v>
      </c>
      <c r="B21" s="3">
        <v>13.0</v>
      </c>
      <c r="C21" s="3" t="s">
        <v>54</v>
      </c>
      <c r="D21" s="3" t="s">
        <v>55</v>
      </c>
      <c r="E21" s="4">
        <f>IFERROR(__xludf.DUMMYFUNCTION("COUNTA(SPLIT(D21, "" ""))"),30.0)</f>
        <v>30</v>
      </c>
    </row>
    <row r="22">
      <c r="A22" s="3">
        <v>21.0</v>
      </c>
      <c r="B22" s="3">
        <v>3.0</v>
      </c>
      <c r="C22" s="3" t="s">
        <v>50</v>
      </c>
      <c r="D22" s="3" t="s">
        <v>56</v>
      </c>
      <c r="E22" s="4">
        <f>IFERROR(__xludf.DUMMYFUNCTION("COUNTA(SPLIT(D22, "" ""))"),34.0)</f>
        <v>34</v>
      </c>
    </row>
    <row r="23">
      <c r="A23" s="3">
        <v>22.0</v>
      </c>
      <c r="B23" s="3">
        <v>13.0</v>
      </c>
      <c r="C23" s="3" t="s">
        <v>57</v>
      </c>
      <c r="D23" s="3" t="s">
        <v>58</v>
      </c>
      <c r="E23" s="4">
        <f>IFERROR(__xludf.DUMMYFUNCTION("COUNTA(SPLIT(D23, "" ""))"),59.0)</f>
        <v>59</v>
      </c>
    </row>
    <row r="24">
      <c r="A24" s="3">
        <v>23.0</v>
      </c>
      <c r="B24" s="3">
        <v>21.0</v>
      </c>
      <c r="C24" s="3" t="s">
        <v>59</v>
      </c>
      <c r="D24" s="3" t="s">
        <v>60</v>
      </c>
      <c r="E24" s="4">
        <f>IFERROR(__xludf.DUMMYFUNCTION("COUNTA(SPLIT(D24, "" ""))"),34.0)</f>
        <v>34</v>
      </c>
    </row>
    <row r="25">
      <c r="D2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63.13"/>
  </cols>
  <sheetData>
    <row r="1">
      <c r="A1" s="1" t="s">
        <v>4</v>
      </c>
      <c r="B1" s="1" t="s">
        <v>6</v>
      </c>
      <c r="C1" s="1" t="s">
        <v>7</v>
      </c>
      <c r="D1" s="1" t="s">
        <v>8</v>
      </c>
      <c r="E1" s="1" t="s">
        <v>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13</v>
      </c>
      <c r="C2" s="3">
        <v>3.0</v>
      </c>
      <c r="D2" s="3">
        <v>1.0</v>
      </c>
    </row>
    <row r="3">
      <c r="A3" s="3">
        <v>2.0</v>
      </c>
      <c r="B3" s="3" t="s">
        <v>14</v>
      </c>
      <c r="C3" s="3">
        <v>2.0</v>
      </c>
      <c r="D3" s="3">
        <v>1.0</v>
      </c>
    </row>
    <row r="4">
      <c r="A4" s="3">
        <v>3.0</v>
      </c>
      <c r="B4" s="3" t="s">
        <v>16</v>
      </c>
      <c r="C4" s="3">
        <v>3.0</v>
      </c>
      <c r="D4" s="3">
        <v>1.0</v>
      </c>
    </row>
    <row r="5">
      <c r="A5" s="3">
        <v>4.1</v>
      </c>
      <c r="B5" s="3" t="s">
        <v>17</v>
      </c>
      <c r="C5" s="3">
        <v>1.0</v>
      </c>
      <c r="D5" s="3">
        <v>1.0</v>
      </c>
    </row>
    <row r="6">
      <c r="A6" s="3">
        <v>4.2</v>
      </c>
      <c r="B6" s="3" t="s">
        <v>19</v>
      </c>
      <c r="C6" s="3">
        <v>1.0</v>
      </c>
      <c r="D6" s="3">
        <v>1.0</v>
      </c>
    </row>
    <row r="7">
      <c r="A7" s="3">
        <v>4.3</v>
      </c>
      <c r="B7" s="3" t="s">
        <v>20</v>
      </c>
      <c r="C7" s="3">
        <v>1.0</v>
      </c>
      <c r="D7" s="3">
        <v>1.0</v>
      </c>
    </row>
    <row r="8">
      <c r="A8" s="3">
        <v>4.4</v>
      </c>
      <c r="B8" s="3" t="s">
        <v>21</v>
      </c>
      <c r="C8" s="3">
        <v>1.0</v>
      </c>
      <c r="D8" s="3">
        <v>1.0</v>
      </c>
    </row>
    <row r="9">
      <c r="A9" s="3">
        <v>5.0</v>
      </c>
      <c r="B9" s="3" t="s">
        <v>23</v>
      </c>
      <c r="C9" s="3">
        <v>1.0</v>
      </c>
      <c r="D9" s="3">
        <v>1.0</v>
      </c>
    </row>
    <row r="10">
      <c r="A10" s="3">
        <v>6.0</v>
      </c>
      <c r="B10" s="3" t="s">
        <v>24</v>
      </c>
      <c r="C10" s="3">
        <v>8.0</v>
      </c>
      <c r="D10" s="3">
        <v>1.0</v>
      </c>
    </row>
    <row r="11">
      <c r="A11" s="3">
        <v>7.0</v>
      </c>
      <c r="B11" s="3" t="s">
        <v>26</v>
      </c>
      <c r="C11" s="3">
        <v>5.0</v>
      </c>
      <c r="D11" s="3">
        <v>1.0</v>
      </c>
    </row>
    <row r="12">
      <c r="A12" s="3">
        <v>8.0</v>
      </c>
      <c r="B12" s="3" t="s">
        <v>27</v>
      </c>
      <c r="C12" s="3">
        <v>5.0</v>
      </c>
      <c r="D12" s="3">
        <v>2.0</v>
      </c>
    </row>
    <row r="13">
      <c r="A13" s="3">
        <v>9.0</v>
      </c>
      <c r="B13" s="3" t="s">
        <v>29</v>
      </c>
      <c r="C13" s="3">
        <v>3.0</v>
      </c>
      <c r="D13" s="3">
        <v>2.0</v>
      </c>
    </row>
    <row r="14">
      <c r="A14" s="3">
        <v>10.0</v>
      </c>
      <c r="B14" s="3" t="s">
        <v>30</v>
      </c>
      <c r="C14" s="3">
        <v>5.0</v>
      </c>
      <c r="D14" s="3">
        <v>2.0</v>
      </c>
    </row>
    <row r="15">
      <c r="A15" s="3">
        <v>11.0</v>
      </c>
      <c r="B15" s="3" t="s">
        <v>32</v>
      </c>
      <c r="C15" s="3">
        <v>2.0</v>
      </c>
      <c r="D15" s="3">
        <v>2.0</v>
      </c>
    </row>
    <row r="16">
      <c r="A16" s="3">
        <v>12.0</v>
      </c>
      <c r="B16" s="3" t="s">
        <v>33</v>
      </c>
      <c r="C16" s="3">
        <v>5.0</v>
      </c>
      <c r="D16" s="3">
        <v>2.0</v>
      </c>
    </row>
    <row r="17">
      <c r="A17" s="3">
        <v>13.0</v>
      </c>
      <c r="B17" s="3" t="s">
        <v>35</v>
      </c>
      <c r="C17" s="3">
        <v>2.0</v>
      </c>
      <c r="D17" s="3">
        <v>2.0</v>
      </c>
    </row>
    <row r="18">
      <c r="A18" s="3">
        <v>14.0</v>
      </c>
      <c r="B18" s="3" t="s">
        <v>36</v>
      </c>
      <c r="C18" s="3">
        <v>13.0</v>
      </c>
      <c r="D18" s="3">
        <v>3.0</v>
      </c>
    </row>
    <row r="19">
      <c r="A19" s="3">
        <v>15.0</v>
      </c>
      <c r="B19" s="3" t="s">
        <v>38</v>
      </c>
      <c r="C19" s="3">
        <v>21.0</v>
      </c>
      <c r="D19" s="3">
        <v>3.0</v>
      </c>
    </row>
    <row r="20">
      <c r="A20" s="3">
        <v>16.0</v>
      </c>
      <c r="B20" s="3" t="s">
        <v>39</v>
      </c>
      <c r="C20" s="3">
        <v>5.0</v>
      </c>
      <c r="D20" s="3">
        <v>3.0</v>
      </c>
    </row>
  </sheetData>
  <drawing r:id="rId1"/>
</worksheet>
</file>